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filterPrivacy="1" codeName="ThisWorkbook"/>
  <xr:revisionPtr revIDLastSave="0" documentId="13_ncr:1_{82B8BE7A-D96E-4DDB-B502-72017DE6C875}" xr6:coauthVersionLast="47" xr6:coauthVersionMax="47" xr10:uidLastSave="{00000000-0000-0000-0000-000000000000}"/>
  <bookViews>
    <workbookView xWindow="-120" yWindow="-120" windowWidth="28920" windowHeight="16215" firstSheet="3" activeTab="3" xr2:uid="{00000000-000D-0000-FFFF-FFFF00000000}"/>
  </bookViews>
  <sheets>
    <sheet name="CronogramaDeProjeto" sheetId="11" r:id="rId1"/>
    <sheet name="Sobre" sheetId="12" r:id="rId2"/>
    <sheet name="5W2H" sheetId="13" r:id="rId3"/>
    <sheet name="Backlog do Produto" sheetId="14" r:id="rId4"/>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3" l="1"/>
  <c r="I9" i="13"/>
  <c r="I8" i="13"/>
  <c r="I7" i="13"/>
  <c r="I6" i="13"/>
  <c r="I5" i="13"/>
  <c r="I2" i="13"/>
  <c r="H33" i="11" l="1"/>
  <c r="H31" i="11"/>
  <c r="H29" i="11"/>
  <c r="H27" i="11"/>
  <c r="H7" i="11"/>
  <c r="H32" i="11"/>
  <c r="H30" i="11"/>
  <c r="H28" i="11"/>
  <c r="H26" i="11"/>
  <c r="H20" i="11"/>
  <c r="H14" i="11"/>
  <c r="H8" i="11"/>
  <c r="I5" i="11"/>
  <c r="H22" i="11"/>
  <c r="H21" i="11"/>
  <c r="H23" i="11"/>
  <c r="I6" i="11"/>
  <c r="H9" i="11"/>
  <c r="H25" i="11"/>
  <c r="J5" i="11"/>
  <c r="K5" i="11"/>
  <c r="L5" i="11"/>
  <c r="M5" i="11"/>
  <c r="N5" i="11"/>
  <c r="O5" i="11"/>
  <c r="P5" i="11"/>
  <c r="I4" i="11"/>
  <c r="H16" i="11"/>
  <c r="H10" i="11"/>
  <c r="H24" i="11"/>
  <c r="P4" i="11"/>
  <c r="Q5" i="11"/>
  <c r="R5" i="11"/>
  <c r="S5" i="11"/>
  <c r="T5" i="11"/>
  <c r="U5" i="11"/>
  <c r="V5" i="11"/>
  <c r="W5" i="11"/>
  <c r="J6" i="11"/>
  <c r="H19" i="11"/>
  <c r="H15" i="11"/>
  <c r="H13" i="11"/>
  <c r="H12" i="11"/>
  <c r="H11" i="11"/>
  <c r="H18" i="11"/>
  <c r="H17" i="11"/>
  <c r="W4" i="11"/>
  <c r="X5" i="11"/>
  <c r="Y5" i="11"/>
  <c r="Z5" i="11"/>
  <c r="AA5" i="11"/>
  <c r="AB5" i="11"/>
  <c r="AC5" i="11"/>
  <c r="AD5" i="11"/>
  <c r="K6" i="11"/>
  <c r="AE5" i="11"/>
  <c r="AF5" i="11"/>
  <c r="AG5" i="11"/>
  <c r="AH5" i="11"/>
  <c r="AI5" i="11"/>
  <c r="AJ5" i="11"/>
  <c r="AD4" i="11"/>
  <c r="L6" i="11"/>
  <c r="AK5" i="11"/>
  <c r="AL5" i="11"/>
  <c r="AM5" i="11"/>
  <c r="AN5" i="11"/>
  <c r="AO5" i="11"/>
  <c r="AP5" i="11"/>
  <c r="AQ5" i="11"/>
  <c r="M6" i="11"/>
  <c r="AR5" i="11"/>
  <c r="AS5" i="11"/>
  <c r="AK4" i="11"/>
  <c r="N6" i="11"/>
  <c r="AT5" i="11"/>
  <c r="AS6" i="11"/>
  <c r="AR4" i="11"/>
  <c r="O6" i="11"/>
  <c r="AU5" i="11"/>
  <c r="AT6" i="11"/>
  <c r="AV5" i="11"/>
  <c r="AU6" i="11"/>
  <c r="P6" i="11"/>
  <c r="Q6" i="11"/>
  <c r="AW5" i="11"/>
  <c r="AV6" i="11"/>
  <c r="R6" i="11"/>
  <c r="AX5" i="11"/>
  <c r="AY5" i="11"/>
  <c r="AW6" i="11"/>
  <c r="S6" i="11"/>
  <c r="AY6" i="11"/>
  <c r="AZ5" i="11"/>
  <c r="AY4" i="11"/>
  <c r="AX6" i="11"/>
  <c r="T6" i="11"/>
  <c r="BA5" i="11"/>
  <c r="AZ6" i="11"/>
  <c r="U6" i="11"/>
  <c r="BA6" i="11"/>
  <c r="BB5" i="11"/>
  <c r="V6" i="11"/>
  <c r="BB6" i="11"/>
  <c r="BC5" i="11"/>
  <c r="W6" i="11"/>
  <c r="BC6" i="11"/>
  <c r="BD5" i="11"/>
  <c r="X6" i="11"/>
  <c r="BE5" i="11"/>
  <c r="BD6" i="11"/>
  <c r="Y6" i="11"/>
  <c r="BE6" i="11"/>
  <c r="BF5" i="11"/>
  <c r="Z6" i="11"/>
  <c r="BF6" i="11"/>
  <c r="BG5" i="11"/>
  <c r="BF4" i="11"/>
  <c r="AA6" i="11"/>
  <c r="BG6" i="11"/>
  <c r="BH5" i="11"/>
  <c r="AB6" i="11"/>
  <c r="BI5" i="11"/>
  <c r="BH6" i="11"/>
  <c r="AC6" i="11"/>
  <c r="BJ5" i="11"/>
  <c r="BI6" i="11"/>
  <c r="AD6" i="11"/>
  <c r="BK5" i="11"/>
  <c r="BJ6" i="11"/>
  <c r="AE6" i="11"/>
  <c r="BL5" i="11"/>
  <c r="BK6" i="11"/>
  <c r="AF6" i="11"/>
  <c r="BL6" i="11"/>
  <c r="AG6" i="11"/>
  <c r="AH6" i="11"/>
  <c r="AI6" i="11"/>
  <c r="AJ6" i="11"/>
  <c r="AK6" i="11"/>
  <c r="AL6" i="11"/>
  <c r="AM6" i="11"/>
  <c r="AN6" i="11"/>
  <c r="AO6" i="11"/>
  <c r="AP6" i="11"/>
  <c r="AQ6" i="11"/>
  <c r="AR6" i="11"/>
</calcChain>
</file>

<file path=xl/sharedStrings.xml><?xml version="1.0" encoding="utf-8"?>
<sst xmlns="http://schemas.openxmlformats.org/spreadsheetml/2006/main" count="182" uniqueCount="153">
  <si>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</si>
  <si>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Projeto A.P.I (Cliente CADI)</t>
  </si>
  <si>
    <t>GRÁFICO DE GANTT SIMPLES por Vertex42.com</t>
  </si>
  <si>
    <t>Insira o Nome da empresa na célula B2.</t>
  </si>
  <si>
    <t>Cadeia produtiva (Metalúrgica)</t>
  </si>
  <si>
    <t>https://www.vertex42.com/ExcelTemplates/simple-gantt-chart.html</t>
  </si>
  <si>
    <t>Insira o nome do Líder do projeto na célula B3. Insira a data de Início do projeto na célula E3. Início do projeto: o rótulo está na célula C3.</t>
  </si>
  <si>
    <t>Anderson Santos</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</si>
  <si>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</si>
  <si>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</si>
  <si>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</si>
  <si>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</si>
  <si>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</si>
  <si>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</si>
  <si>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</si>
  <si>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</si>
  <si>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</si>
  <si>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</si>
  <si>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</si>
  <si>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</si>
  <si>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</si>
  <si>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1° sprint 06/10/2025</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</si>
  <si>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</si>
  <si>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Mapa Mental</t>
  </si>
  <si>
    <t>Sebastião</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</si>
  <si>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</si>
  <si>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Fluxograma/Apresentação</t>
  </si>
  <si>
    <t>Anderson</t>
  </si>
  <si>
    <t>Gantt</t>
  </si>
  <si>
    <t>José Sérgio</t>
  </si>
  <si>
    <t>Backlog do Produto</t>
  </si>
  <si>
    <t>Luís Carlos</t>
  </si>
  <si>
    <t>5W2H</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</si>
  <si>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</si>
  <si>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2° sprint 24/10/2025</t>
  </si>
  <si>
    <t>Análise de dados</t>
  </si>
  <si>
    <t>Anderson/José/Sebastião/Luís</t>
  </si>
  <si>
    <t>Relatório</t>
  </si>
  <si>
    <t xml:space="preserve">Anderson/José </t>
  </si>
  <si>
    <t>Dashboard  Analítico</t>
  </si>
  <si>
    <t>Ghithub/Gantt</t>
  </si>
  <si>
    <t>Apresentação</t>
  </si>
  <si>
    <t>Bloco de título de fase de exemplo</t>
  </si>
  <si>
    <t>3° sprint (Tem que estar pronto )14/11/2025</t>
  </si>
  <si>
    <t>Análise de dados finais</t>
  </si>
  <si>
    <t>Relatório final</t>
  </si>
  <si>
    <t>Anderson/José</t>
  </si>
  <si>
    <t>4° sprint Feira de Soluções 04/12/2025</t>
  </si>
  <si>
    <t xml:space="preserve">Revisão do Dados </t>
  </si>
  <si>
    <t>Anderso/José/Sesbastião/Luís</t>
  </si>
  <si>
    <t>Tarefa 2</t>
  </si>
  <si>
    <t>Tarefa 3</t>
  </si>
  <si>
    <t>Tarefa 4</t>
  </si>
  <si>
    <t>Tarefa 5</t>
  </si>
  <si>
    <t>Esta é uma linha vazia</t>
  </si>
  <si>
    <t>Esta linha marca o final do Cronograma de projeto. NÃO insira nada nessa linha. 
Insira novas linhas ACIMA desta linha para continuar a construção do cronograma de projeto.</t>
  </si>
  <si>
    <t>Insira novas linhas ACIMA desta</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</si>
  <si>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</si>
  <si>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</si>
  <si>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</si>
  <si>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2 planilhas nesta pasta de trabalho. 
CronogramaDeProjeto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</si>
  <si>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</si>
  <si>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</si>
  <si>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</si>
  <si>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</si>
  <si>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</si>
  <si>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</si>
  <si>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</si>
  <si>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</si>
  <si>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</si>
  <si>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Ferramenta 5W2H</t>
  </si>
  <si>
    <t>Status</t>
  </si>
  <si>
    <t>5W</t>
  </si>
  <si>
    <t>2H</t>
  </si>
  <si>
    <t>What?</t>
  </si>
  <si>
    <t>Why?</t>
  </si>
  <si>
    <t>Where?</t>
  </si>
  <si>
    <t>Who?</t>
  </si>
  <si>
    <t>When?</t>
  </si>
  <si>
    <t>Data de entrega</t>
  </si>
  <si>
    <t>How?</t>
  </si>
  <si>
    <t>How much?</t>
  </si>
  <si>
    <t>O que?</t>
  </si>
  <si>
    <t>Porque?</t>
  </si>
  <si>
    <t>Onde?</t>
  </si>
  <si>
    <t>Quem?</t>
  </si>
  <si>
    <t>Quando</t>
  </si>
  <si>
    <t>Concluído</t>
  </si>
  <si>
    <t>Como?</t>
  </si>
  <si>
    <t>Quanto?</t>
  </si>
  <si>
    <t>Situação</t>
  </si>
  <si>
    <t>Mapa mental</t>
  </si>
  <si>
    <t>Organizar o projeto</t>
  </si>
  <si>
    <t>Powerpoint</t>
  </si>
  <si>
    <t>Realizando pesquisas e debates com o grupo</t>
  </si>
  <si>
    <t>Backlog do produto</t>
  </si>
  <si>
    <t>Orientação do cliente</t>
  </si>
  <si>
    <t>Word</t>
  </si>
  <si>
    <t>Luís</t>
  </si>
  <si>
    <t>Organizar as tarefas do projeto</t>
  </si>
  <si>
    <t>Excel</t>
  </si>
  <si>
    <t>José</t>
  </si>
  <si>
    <t xml:space="preserve">observando as capacidades e os talentos de cada integrante </t>
  </si>
  <si>
    <t>Apresentação (Powerpoint)</t>
  </si>
  <si>
    <t>1° sprint</t>
  </si>
  <si>
    <t>Coletando os trabalhos de cada integrante e retirando os dados necessários</t>
  </si>
  <si>
    <t>Análise de dados site Comex stat</t>
  </si>
  <si>
    <t>Projeto integrador API</t>
  </si>
  <si>
    <t>Powerbi</t>
  </si>
  <si>
    <t>Coletando dados no Site e analisando utizando o PowerBI para gerar tabelas e gráficos</t>
  </si>
  <si>
    <t>User story</t>
  </si>
  <si>
    <t>Analisando o backlog do produto</t>
  </si>
  <si>
    <t>Plano de Trabalho: Comércio Exterior de Usinagem (SJC, Jacareí e Caçapava)</t>
  </si>
  <si>
    <t>O objetivo é analisar a Exportação e Importação de produtos ligados ao setor de usinagem nas três cidades do Vale do Paraíba, utilizando dados oficiais do Comex Stat.</t>
  </si>
  <si>
    <t>FASE 1: Mapeamento e Definição (A Base)</t>
  </si>
  <si>
    <t>Esta fase é crítica para garantir que os dados coletados sejam, de fato, os produtos que representam a Usinagem.</t>
  </si>
  <si>
    <t>Etapa Principal</t>
  </si>
  <si>
    <t>Ações Chave</t>
  </si>
  <si>
    <t>Resultado (Entregável)</t>
  </si>
  <si>
    <t>1. Identificar Produtos</t>
  </si>
  <si>
    <t>Pesquisar e listar todos os códigos NCM (8 dígitos) que representam máquinas, ferramentas e, principalmente, peças usinadas relevantes para a região (aeroespacial, automotiva).</t>
  </si>
  <si>
    <t>Lista Final de NCMs (8 dígitos)</t>
  </si>
  <si>
    <t>2. Padronizar Códigos</t>
  </si>
  <si>
    <t>Converter a lista de NCMs para o código SH4 (4 dígitos) para que seja possível utilizar o filtro de "Município" no Comex Stat.</t>
  </si>
  <si>
    <t>Lista de Posições SH4 para Filtragem</t>
  </si>
  <si>
    <t>3. Definir o Escopo</t>
  </si>
  <si>
    <t>Determinar o período exato de análise (Ex: 2023 completo ou Jan/2024 - Dez/2024).</t>
  </si>
  <si>
    <t>Definição do Período de Análise</t>
  </si>
  <si>
    <t>FASE 2: Coleta de Dados (A Execução no Comex Stat)</t>
  </si>
  <si>
    <t>Esta fase é a de extração dos dados brutos, que será feita em duas grandes consultas.</t>
  </si>
  <si>
    <t>1. Extração de Exportação</t>
  </si>
  <si>
    <t>Realizar a consulta no módulo "Dados por Municípios" do Comex Stat, filtrando pelas 3 cidades (SJC, Jacareí, Caçapava) e pelos códigos SH4 definidos.</t>
  </si>
  <si>
    <t>Planilha 1: Dados de Exportação (Valor FOB, Peso, País de Destino).</t>
  </si>
  <si>
    <t>2. Extração de Importação</t>
  </si>
  <si>
    <t>Repetir o processo da extração anterior, alterando o filtro de Fluxo para Importação.</t>
  </si>
  <si>
    <t>Planilha 2: Dados de Importação (Valor FOB, Peso, País de Origem).</t>
  </si>
  <si>
    <t>3. Organização dos Dados</t>
  </si>
  <si>
    <t>Juntar as duas planilhas e garantir a integridade dos dados para iniciar a análise.</t>
  </si>
  <si>
    <t>Base de Dados Bruta e Consolidada.</t>
  </si>
  <si>
    <t>FASE 3: Análise e Apresentação (A Entrega Final)</t>
  </si>
  <si>
    <t>Esta fase transforma os números brutos em informações e conclusões para o seu trabalho.</t>
  </si>
  <si>
    <t>1. Análise Financeira</t>
  </si>
  <si>
    <t>Calcular os Totais de Exportação e Importação por cidade e o valor da Balança Comercial de Usinagem (Exportação - Importação).</t>
  </si>
  <si>
    <t>Visão Geral dos Resultados Financeiros.</t>
  </si>
  <si>
    <t>2. Análise Estratégica</t>
  </si>
  <si>
    <t>Identificar os Principais Produtos (SH4 mais negociados) e os Principais Parceiros Comerciais (países de destino/origem).</t>
  </si>
  <si>
    <t>Ranking Top 5 Produtos e Países.</t>
  </si>
  <si>
    <t>3. Visualização</t>
  </si>
  <si>
    <t>Criar Gráficos e Tabelas comparando o desempenho das três cidades.</t>
  </si>
  <si>
    <t>Material Visual (Gráficos prontos para o relatório).</t>
  </si>
  <si>
    <t>4. Relatório Final</t>
  </si>
  <si>
    <t>Redigir o trabalho (Introdução, Metodologia, Resultados e Conclusão), utilizando os dados e as análises geradas.</t>
  </si>
  <si>
    <t>Trabalho Concluído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</si>
</sst>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_(* \(#,##0\);_(* &quot;-&quot;_);_(@_)"/>
    <numFmt numFmtId="43" formatCode="_(* #,##0.00_);_(* \(#,##0.00\);_(* &quot;-&quot;??_);_(@_)"/>
    <numFmt numFmtId="164" formatCode="_-&quot;R$&quot;\ * #,##0_-;\-&quot;R$&quot;\ * #,##0_-;_-&quot;R$&quot;\ * &quot;-&quot;_-;_-@_-"/>
    <numFmt numFmtId="165" formatCode="_-&quot;R$&quot;\ * #,##0.00_-;\-&quot;R$&quot;\ * #,##0.00_-;_-&quot;R$&quot;\ * &quot;-&quot;??_-;_-@_-"/>
    <numFmt numFmtId="166" formatCode="ddd\,\ d/m/yyyy"/>
    <numFmt numFmtId="167" formatCode="[$-416]d\-mmm\-yyyy;@"/>
    <numFmt numFmtId="168" formatCode="d"/>
    <numFmt numFmtId="169" formatCode="d/m/yy;@"/>
  </numFmts>
  <fonts count="4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i/>
      <sz val="11"/>
      <color theme="1"/>
      <name val="Calibri"/>
      <family val="2"/>
      <scheme val="minor"/>
    </font>
    <font>
      <b/>
      <sz val="18"/>
      <color rgb="FF000000"/>
      <name val="Calibri"/>
      <family val="2"/>
    </font>
    <font>
      <sz val="18"/>
      <color rgb="FF000000"/>
      <name val="Calibri"/>
      <family val="2"/>
    </font>
    <font>
      <b/>
      <sz val="18"/>
      <color rgb="FFFF0000"/>
      <name val="Calibri"/>
      <family val="2"/>
    </font>
    <font>
      <sz val="12"/>
      <color rgb="FF000000"/>
      <name val="Calibri"/>
      <family val="2"/>
    </font>
    <font>
      <sz val="11"/>
      <color theme="1"/>
      <name val="Calibri"/>
      <family val="2"/>
    </font>
    <font>
      <b/>
      <sz val="14"/>
      <name val="Arial Black"/>
      <family val="2"/>
    </font>
  </fonts>
  <fills count="5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548235"/>
        <bgColor rgb="FF000000"/>
      </patternFill>
    </fill>
    <fill>
      <patternFill patternType="solid">
        <fgColor rgb="FFFFFF00"/>
        <bgColor rgb="FF000000"/>
      </patternFill>
    </fill>
    <fill>
      <patternFill patternType="solid">
        <fgColor rgb="FFD9D9D9"/>
        <bgColor rgb="FF000000"/>
      </patternFill>
    </fill>
    <fill>
      <patternFill patternType="solid">
        <fgColor rgb="FFF2F2F2"/>
        <bgColor rgb="FF000000"/>
      </patternFill>
    </fill>
    <fill>
      <patternFill patternType="solid">
        <fgColor theme="0"/>
        <bgColor indexed="64"/>
      </patternFill>
    </fill>
  </fills>
  <borders count="2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4">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43"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41"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1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2" fillId="0" borderId="0" xfId="0" applyFont="1" applyAlignment="1">
      <alignment horizontal="left" vertical="top"/>
    </xf>
    <xf numFmtId="0" fontId="17" fillId="0" borderId="0" xfId="0" applyFont="1" applyAlignment="1">
      <alignment vertical="top"/>
    </xf>
    <xf numFmtId="0" fontId="21" fillId="0" borderId="0" xfId="3"/>
    <xf numFmtId="0" fontId="21" fillId="0" borderId="0" xfId="3" applyAlignment="1">
      <alignment wrapText="1"/>
    </xf>
    <xf numFmtId="0" fontId="21" fillId="0" borderId="0" xfId="0" applyFont="1" applyAlignment="1">
      <alignment horizontal="center"/>
    </xf>
    <xf numFmtId="0" fontId="14" fillId="0" borderId="0" xfId="1" applyFont="1" applyProtection="1">
      <alignment vertical="top"/>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0" fontId="8" fillId="8" borderId="2" xfId="11" applyFill="1">
      <alignment horizontal="center" vertical="center"/>
    </xf>
    <xf numFmtId="0" fontId="8" fillId="9" borderId="2" xfId="11" applyFill="1">
      <alignment horizontal="center" vertical="center"/>
    </xf>
    <xf numFmtId="0" fontId="8" fillId="6"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10" borderId="2" xfId="12" applyFill="1">
      <alignment horizontal="left" vertical="center" indent="2"/>
    </xf>
    <xf numFmtId="0" fontId="8" fillId="0" borderId="2" xfId="12">
      <alignment horizontal="left" vertical="center" indent="2"/>
    </xf>
    <xf numFmtId="0" fontId="0" fillId="0" borderId="0" xfId="0" applyAlignment="1">
      <alignment horizontal="left" vertical="top" wrapText="1" indent="1"/>
    </xf>
    <xf numFmtId="0" fontId="3" fillId="0" borderId="0" xfId="1" applyAlignment="1" applyProtection="1">
      <alignment horizontal="left" vertical="top" indent="1"/>
    </xf>
    <xf numFmtId="168" fontId="10" fillId="7" borderId="6" xfId="0" applyNumberFormat="1" applyFont="1" applyFill="1" applyBorder="1" applyAlignment="1">
      <alignment horizontal="center" vertical="center"/>
    </xf>
    <xf numFmtId="168" fontId="10" fillId="7" borderId="0" xfId="0" applyNumberFormat="1" applyFont="1" applyFill="1" applyAlignment="1">
      <alignment horizontal="center" vertical="center"/>
    </xf>
    <xf numFmtId="168" fontId="10" fillId="7" borderId="7" xfId="0" applyNumberFormat="1" applyFont="1" applyFill="1" applyBorder="1" applyAlignment="1">
      <alignment horizontal="center" vertical="center"/>
    </xf>
    <xf numFmtId="169" fontId="8" fillId="3" borderId="2" xfId="10" applyFill="1">
      <alignment horizontal="center" vertical="center"/>
    </xf>
    <xf numFmtId="169" fontId="8" fillId="4" borderId="2" xfId="10" applyFill="1">
      <alignment horizontal="center" vertical="center"/>
    </xf>
    <xf numFmtId="169" fontId="8" fillId="11" borderId="2" xfId="10" applyFill="1">
      <alignment horizontal="center" vertical="center"/>
    </xf>
    <xf numFmtId="169" fontId="8" fillId="10" borderId="2" xfId="10" applyFill="1">
      <alignment horizontal="center" vertical="center"/>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0" borderId="2" xfId="10">
      <alignment horizontal="center" vertical="center"/>
    </xf>
    <xf numFmtId="169" fontId="0" fillId="2" borderId="2" xfId="0" applyNumberFormat="1" applyFill="1" applyBorder="1" applyAlignment="1">
      <alignment horizontal="center" vertical="center"/>
    </xf>
    <xf numFmtId="0" fontId="34" fillId="2" borderId="2" xfId="0" applyFont="1" applyFill="1" applyBorder="1" applyAlignment="1">
      <alignment horizontal="center" vertical="center"/>
    </xf>
    <xf numFmtId="0" fontId="0" fillId="3" borderId="2" xfId="12" applyFont="1" applyFill="1">
      <alignment horizontal="left" vertical="center" indent="2"/>
    </xf>
    <xf numFmtId="0" fontId="0" fillId="3" borderId="2" xfId="11" applyFont="1" applyFill="1">
      <alignment horizontal="center" vertical="center"/>
    </xf>
    <xf numFmtId="0" fontId="0" fillId="4" borderId="2" xfId="12" applyFont="1" applyFill="1">
      <alignment horizontal="left" vertical="center" indent="2"/>
    </xf>
    <xf numFmtId="0" fontId="0" fillId="4" borderId="2" xfId="11" applyFont="1" applyFill="1">
      <alignment horizontal="center" vertical="center"/>
    </xf>
    <xf numFmtId="169" fontId="0" fillId="4" borderId="2" xfId="10" applyFont="1" applyFill="1">
      <alignment horizontal="center" vertical="center"/>
    </xf>
    <xf numFmtId="0" fontId="0" fillId="11" borderId="2" xfId="12" applyFont="1" applyFill="1">
      <alignment horizontal="left" vertical="center" indent="2"/>
    </xf>
    <xf numFmtId="169" fontId="0" fillId="11" borderId="2" xfId="10" applyFont="1" applyFill="1">
      <alignment horizontal="center" vertical="center"/>
    </xf>
    <xf numFmtId="0" fontId="0" fillId="11" borderId="2" xfId="11" applyFont="1" applyFill="1">
      <alignment horizontal="center" vertical="center"/>
    </xf>
    <xf numFmtId="0" fontId="0" fillId="10" borderId="2" xfId="12" applyFont="1" applyFill="1">
      <alignment horizontal="left" vertical="center" indent="2"/>
    </xf>
    <xf numFmtId="0" fontId="0" fillId="10" borderId="2" xfId="11" applyFont="1" applyFill="1">
      <alignment horizontal="center" vertical="center"/>
    </xf>
    <xf numFmtId="0" fontId="35" fillId="46" borderId="20" xfId="0" applyFont="1" applyFill="1" applyBorder="1" applyAlignment="1">
      <alignment horizontal="center" vertical="center"/>
    </xf>
    <xf numFmtId="0" fontId="37" fillId="48" borderId="20" xfId="0" applyFont="1" applyFill="1" applyBorder="1" applyAlignment="1">
      <alignment horizontal="center" vertical="center"/>
    </xf>
    <xf numFmtId="0" fontId="38" fillId="49" borderId="20" xfId="0" applyFont="1" applyFill="1" applyBorder="1" applyAlignment="1">
      <alignment horizontal="center" vertical="center"/>
    </xf>
    <xf numFmtId="16" fontId="38" fillId="49" borderId="20" xfId="0" applyNumberFormat="1" applyFont="1" applyFill="1" applyBorder="1" applyAlignment="1">
      <alignment horizontal="center" vertical="center"/>
    </xf>
    <xf numFmtId="0" fontId="39" fillId="0" borderId="20" xfId="0" applyFont="1" applyBorder="1" applyAlignment="1">
      <alignment horizontal="center" vertical="center"/>
    </xf>
    <xf numFmtId="0" fontId="39" fillId="0" borderId="0" xfId="0" applyFont="1"/>
    <xf numFmtId="0" fontId="40" fillId="0" borderId="0" xfId="0" applyFont="1"/>
    <xf numFmtId="0" fontId="40" fillId="50" borderId="20" xfId="0" applyFont="1" applyFill="1" applyBorder="1" applyAlignment="1">
      <alignment vertical="center" wrapText="1"/>
    </xf>
    <xf numFmtId="0" fontId="40" fillId="50" borderId="20" xfId="0" applyFont="1" applyFill="1" applyBorder="1"/>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0" fontId="35" fillId="46" borderId="17" xfId="0" applyFont="1" applyFill="1" applyBorder="1" applyAlignment="1">
      <alignment horizontal="center" vertical="center"/>
    </xf>
    <xf numFmtId="0" fontId="35" fillId="46" borderId="18" xfId="0" applyFont="1" applyFill="1" applyBorder="1" applyAlignment="1">
      <alignment horizontal="center" vertical="center"/>
    </xf>
    <xf numFmtId="0" fontId="35" fillId="46" borderId="19" xfId="0" applyFont="1" applyFill="1" applyBorder="1" applyAlignment="1">
      <alignment horizontal="center" vertical="center"/>
    </xf>
    <xf numFmtId="0" fontId="35" fillId="46" borderId="20" xfId="0" applyFont="1" applyFill="1" applyBorder="1" applyAlignment="1">
      <alignment horizontal="center" vertical="center"/>
    </xf>
    <xf numFmtId="14" fontId="36" fillId="47" borderId="21" xfId="0" applyNumberFormat="1" applyFont="1" applyFill="1" applyBorder="1" applyAlignment="1">
      <alignment horizontal="center" vertical="center"/>
    </xf>
    <xf numFmtId="14" fontId="36" fillId="47" borderId="22" xfId="0" applyNumberFormat="1" applyFont="1" applyFill="1" applyBorder="1" applyAlignment="1">
      <alignment horizontal="center" vertical="center"/>
    </xf>
    <xf numFmtId="0" fontId="40" fillId="45" borderId="20" xfId="0" applyFont="1" applyFill="1" applyBorder="1" applyAlignment="1">
      <alignment horizontal="center" vertical="center"/>
    </xf>
    <xf numFmtId="0" fontId="40" fillId="50" borderId="20" xfId="0" applyFont="1" applyFill="1" applyBorder="1" applyAlignment="1">
      <alignment horizontal="center" vertical="center"/>
    </xf>
    <xf numFmtId="0" fontId="8" fillId="0" borderId="0" xfId="8" applyAlignment="1">
      <alignment horizontal="right" indent="1"/>
    </xf>
    <xf numFmtId="0" fontId="8" fillId="0" borderId="7" xfId="8" applyBorder="1" applyAlignment="1">
      <alignment horizontal="right" indent="1"/>
    </xf>
    <xf numFmtId="166" fontId="8" fillId="0" borderId="3" xfId="9" applyAlignment="1">
      <alignment horizontal="center" vertical="center"/>
    </xf>
    <xf numFmtId="0" fontId="0" fillId="0" borderId="10" xfId="0" applyBorder="1" applyAlignment="1"/>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00000000-0005-0000-0000-000001000000}"/>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00000000-0005-0000-0000-000009000000}"/>
    <cellStyle name="Moeda" xfId="15" builtinId="4" customBuiltin="1"/>
    <cellStyle name="Moeda [0]" xfId="16" builtinId="7" customBuiltin="1"/>
    <cellStyle name="Neutro" xfId="20" builtinId="28" customBuiltin="1"/>
    <cellStyle name="Nome" xfId="11" xr:uid="{00000000-0005-0000-0000-000006000000}"/>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00000000-0005-0000-0000-00000A000000}"/>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00000000-0005-0000-0000-00000C000000}"/>
  </cellStyles>
  <dxfs count="15">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523240</xdr:colOff>
      <xdr:row>0</xdr:row>
      <xdr:rowOff>1270</xdr:rowOff>
    </xdr:to>
    <xdr:sp macro="" textlink="">
      <xdr:nvSpPr>
        <xdr:cNvPr id="2" name="Retângulo 1">
          <a:extLst>
            <a:ext uri="{FF2B5EF4-FFF2-40B4-BE49-F238E27FC236}">
              <a16:creationId xmlns:a16="http://schemas.microsoft.com/office/drawing/2014/main" id="{975CC3C0-E83A-4BFD-9542-FD03B6066A9F}"/>
            </a:ext>
          </a:extLst>
        </xdr:cNvPr>
        <xdr:cNvSpPr>
          <a:spLocks noChangeArrowheads="1"/>
        </xdr:cNvSpPr>
      </xdr:nvSpPr>
      <xdr:spPr bwMode="auto">
        <a:xfrm>
          <a:off x="0" y="0"/>
          <a:ext cx="5400040" cy="1270"/>
        </a:xfrm>
        <a:prstGeom prst="rect">
          <a:avLst/>
        </a:prstGeom>
        <a:noFill/>
        <a:ln w="9525">
          <a:gradFill rotWithShape="0">
            <a:gsLst>
              <a:gs pos="0">
                <a:srgbClr val="A0A0A0"/>
              </a:gs>
              <a:gs pos="100000">
                <a:srgbClr val="E3E3E3"/>
              </a:gs>
            </a:gsLst>
            <a:lin ang="5400000"/>
          </a:gradFill>
          <a:miter lim="800000"/>
          <a:headEnd/>
          <a:tailEnd/>
        </a:ln>
      </xdr:spPr>
      <xdr:txBody>
        <a:bodyPr rot="0" vert="horz" wrap="square" lIns="91440" tIns="45720" rIns="91440" bIns="45720" anchor="t" anchorCtr="0" upright="1">
          <a:noAutofit/>
        </a:bodyPr>
        <a:lstStyle/>
        <a:p>
          <a:endParaRPr lang="pt-B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showRuler="0" zoomScale="60" zoomScaleNormal="60" zoomScalePageLayoutView="70" workbookViewId="0">
      <pane ySplit="6" topLeftCell="A7" activePane="bottomLeft" state="frozen"/>
      <selection pane="bottomLeft" activeCell="D9" sqref="D9"/>
      <selection activeCell="F1" sqref="F1"/>
    </sheetView>
  </sheetViews>
  <sheetFormatPr defaultRowHeight="30" customHeight="1"/>
  <cols>
    <col min="1" max="1" width="2.7109375" style="42" customWidth="1"/>
    <col min="2" max="2" width="27" customWidth="1"/>
    <col min="3" max="3" width="30.7109375" customWidth="1"/>
    <col min="4" max="4" width="10.7109375" customWidth="1"/>
    <col min="5" max="5" width="10.28515625" style="5" customWidth="1"/>
    <col min="6" max="6" width="10.28515625" customWidth="1"/>
    <col min="7" max="7" width="2.7109375" customWidth="1"/>
    <col min="8" max="8" width="8.5703125" hidden="1" customWidth="1"/>
    <col min="9" max="64" width="2.5703125" customWidth="1"/>
    <col min="69" max="70" width="10.28515625"/>
  </cols>
  <sheetData>
    <row r="1" spans="1:64" ht="30" customHeight="1">
      <c r="A1" s="43" t="s">
        <v>0</v>
      </c>
      <c r="B1" s="47" t="s">
        <v>1</v>
      </c>
      <c r="C1" s="1"/>
      <c r="D1" s="2"/>
      <c r="E1" s="4"/>
      <c r="F1" s="33"/>
      <c r="H1" s="2"/>
      <c r="I1" s="11" t="s">
        <v>2</v>
      </c>
    </row>
    <row r="2" spans="1:64" ht="30" customHeight="1">
      <c r="A2" s="42" t="s">
        <v>3</v>
      </c>
      <c r="B2" s="48" t="s">
        <v>4</v>
      </c>
      <c r="I2" s="45" t="s">
        <v>5</v>
      </c>
    </row>
    <row r="3" spans="1:64" ht="30" customHeight="1">
      <c r="A3" s="42" t="s">
        <v>6</v>
      </c>
      <c r="B3" s="49" t="s">
        <v>7</v>
      </c>
      <c r="C3" s="108" t="s">
        <v>8</v>
      </c>
      <c r="D3" s="109"/>
      <c r="E3" s="110">
        <v>45904</v>
      </c>
      <c r="F3" s="110"/>
    </row>
    <row r="4" spans="1:64" ht="30" customHeight="1">
      <c r="A4" s="43" t="s">
        <v>9</v>
      </c>
      <c r="C4" s="108" t="s">
        <v>10</v>
      </c>
      <c r="D4" s="109"/>
      <c r="E4" s="7">
        <v>1</v>
      </c>
      <c r="I4" s="97">
        <f>I5</f>
        <v>45901</v>
      </c>
      <c r="J4" s="98"/>
      <c r="K4" s="98"/>
      <c r="L4" s="98"/>
      <c r="M4" s="98"/>
      <c r="N4" s="98"/>
      <c r="O4" s="99"/>
      <c r="P4" s="97">
        <f>P5</f>
        <v>45908</v>
      </c>
      <c r="Q4" s="98"/>
      <c r="R4" s="98"/>
      <c r="S4" s="98"/>
      <c r="T4" s="98"/>
      <c r="U4" s="98"/>
      <c r="V4" s="99"/>
      <c r="W4" s="97">
        <f>W5</f>
        <v>45915</v>
      </c>
      <c r="X4" s="98"/>
      <c r="Y4" s="98"/>
      <c r="Z4" s="98"/>
      <c r="AA4" s="98"/>
      <c r="AB4" s="98"/>
      <c r="AC4" s="99"/>
      <c r="AD4" s="97">
        <f>AD5</f>
        <v>45922</v>
      </c>
      <c r="AE4" s="98"/>
      <c r="AF4" s="98"/>
      <c r="AG4" s="98"/>
      <c r="AH4" s="98"/>
      <c r="AI4" s="98"/>
      <c r="AJ4" s="99"/>
      <c r="AK4" s="97">
        <f>AK5</f>
        <v>45929</v>
      </c>
      <c r="AL4" s="98"/>
      <c r="AM4" s="98"/>
      <c r="AN4" s="98"/>
      <c r="AO4" s="98"/>
      <c r="AP4" s="98"/>
      <c r="AQ4" s="99"/>
      <c r="AR4" s="97">
        <f>AR5</f>
        <v>45936</v>
      </c>
      <c r="AS4" s="98"/>
      <c r="AT4" s="98"/>
      <c r="AU4" s="98"/>
      <c r="AV4" s="98"/>
      <c r="AW4" s="98"/>
      <c r="AX4" s="99"/>
      <c r="AY4" s="97">
        <f>AY5</f>
        <v>45943</v>
      </c>
      <c r="AZ4" s="98"/>
      <c r="BA4" s="98"/>
      <c r="BB4" s="98"/>
      <c r="BC4" s="98"/>
      <c r="BD4" s="98"/>
      <c r="BE4" s="99"/>
      <c r="BF4" s="97">
        <f>BF5</f>
        <v>45950</v>
      </c>
      <c r="BG4" s="98"/>
      <c r="BH4" s="98"/>
      <c r="BI4" s="98"/>
      <c r="BJ4" s="98"/>
      <c r="BK4" s="98"/>
      <c r="BL4" s="99"/>
    </row>
    <row r="5" spans="1:64" ht="15" customHeight="1">
      <c r="A5" s="43" t="s">
        <v>11</v>
      </c>
      <c r="B5" s="111"/>
      <c r="C5" s="111"/>
      <c r="D5" s="111"/>
      <c r="E5" s="111"/>
      <c r="F5" s="111"/>
      <c r="G5" s="111"/>
      <c r="I5" s="60">
        <f>Início_do_projeto-WEEKDAY(Início_do_projeto,1)+2+7*(Semana_de_exibição-1)</f>
        <v>45901</v>
      </c>
      <c r="J5" s="61">
        <f>I5+1</f>
        <v>45902</v>
      </c>
      <c r="K5" s="61">
        <f t="shared" ref="K5:AX5" si="0">J5+1</f>
        <v>45903</v>
      </c>
      <c r="L5" s="61">
        <f t="shared" si="0"/>
        <v>45904</v>
      </c>
      <c r="M5" s="61">
        <f t="shared" si="0"/>
        <v>45905</v>
      </c>
      <c r="N5" s="61">
        <f t="shared" si="0"/>
        <v>45906</v>
      </c>
      <c r="O5" s="62">
        <f t="shared" si="0"/>
        <v>45907</v>
      </c>
      <c r="P5" s="60">
        <f>O5+1</f>
        <v>45908</v>
      </c>
      <c r="Q5" s="61">
        <f>P5+1</f>
        <v>45909</v>
      </c>
      <c r="R5" s="61">
        <f t="shared" si="0"/>
        <v>45910</v>
      </c>
      <c r="S5" s="61">
        <f t="shared" si="0"/>
        <v>45911</v>
      </c>
      <c r="T5" s="61">
        <f t="shared" si="0"/>
        <v>45912</v>
      </c>
      <c r="U5" s="61">
        <f t="shared" si="0"/>
        <v>45913</v>
      </c>
      <c r="V5" s="62">
        <f t="shared" si="0"/>
        <v>45914</v>
      </c>
      <c r="W5" s="60">
        <f>V5+1</f>
        <v>45915</v>
      </c>
      <c r="X5" s="61">
        <f>W5+1</f>
        <v>45916</v>
      </c>
      <c r="Y5" s="61">
        <f t="shared" si="0"/>
        <v>45917</v>
      </c>
      <c r="Z5" s="61">
        <f t="shared" si="0"/>
        <v>45918</v>
      </c>
      <c r="AA5" s="61">
        <f t="shared" si="0"/>
        <v>45919</v>
      </c>
      <c r="AB5" s="61">
        <f t="shared" si="0"/>
        <v>45920</v>
      </c>
      <c r="AC5" s="62">
        <f t="shared" si="0"/>
        <v>45921</v>
      </c>
      <c r="AD5" s="60">
        <f>AC5+1</f>
        <v>45922</v>
      </c>
      <c r="AE5" s="61">
        <f>AD5+1</f>
        <v>45923</v>
      </c>
      <c r="AF5" s="61">
        <f t="shared" si="0"/>
        <v>45924</v>
      </c>
      <c r="AG5" s="61">
        <f t="shared" si="0"/>
        <v>45925</v>
      </c>
      <c r="AH5" s="61">
        <f t="shared" si="0"/>
        <v>45926</v>
      </c>
      <c r="AI5" s="61">
        <f t="shared" si="0"/>
        <v>45927</v>
      </c>
      <c r="AJ5" s="62">
        <f t="shared" si="0"/>
        <v>45928</v>
      </c>
      <c r="AK5" s="60">
        <f>AJ5+1</f>
        <v>45929</v>
      </c>
      <c r="AL5" s="61">
        <f>AK5+1</f>
        <v>45930</v>
      </c>
      <c r="AM5" s="61">
        <f t="shared" si="0"/>
        <v>45931</v>
      </c>
      <c r="AN5" s="61">
        <f t="shared" si="0"/>
        <v>45932</v>
      </c>
      <c r="AO5" s="61">
        <f t="shared" si="0"/>
        <v>45933</v>
      </c>
      <c r="AP5" s="61">
        <f t="shared" si="0"/>
        <v>45934</v>
      </c>
      <c r="AQ5" s="62">
        <f t="shared" si="0"/>
        <v>45935</v>
      </c>
      <c r="AR5" s="60">
        <f>AQ5+1</f>
        <v>45936</v>
      </c>
      <c r="AS5" s="61">
        <f>AR5+1</f>
        <v>45937</v>
      </c>
      <c r="AT5" s="61">
        <f t="shared" si="0"/>
        <v>45938</v>
      </c>
      <c r="AU5" s="61">
        <f t="shared" si="0"/>
        <v>45939</v>
      </c>
      <c r="AV5" s="61">
        <f t="shared" si="0"/>
        <v>45940</v>
      </c>
      <c r="AW5" s="61">
        <f t="shared" si="0"/>
        <v>45941</v>
      </c>
      <c r="AX5" s="62">
        <f t="shared" si="0"/>
        <v>45942</v>
      </c>
      <c r="AY5" s="60">
        <f>AX5+1</f>
        <v>45943</v>
      </c>
      <c r="AZ5" s="61">
        <f>AY5+1</f>
        <v>45944</v>
      </c>
      <c r="BA5" s="61">
        <f t="shared" ref="BA5:BE5" si="1">AZ5+1</f>
        <v>45945</v>
      </c>
      <c r="BB5" s="61">
        <f t="shared" si="1"/>
        <v>45946</v>
      </c>
      <c r="BC5" s="61">
        <f t="shared" si="1"/>
        <v>45947</v>
      </c>
      <c r="BD5" s="61">
        <f t="shared" si="1"/>
        <v>45948</v>
      </c>
      <c r="BE5" s="62">
        <f t="shared" si="1"/>
        <v>45949</v>
      </c>
      <c r="BF5" s="60">
        <f>BE5+1</f>
        <v>45950</v>
      </c>
      <c r="BG5" s="61">
        <f>BF5+1</f>
        <v>45951</v>
      </c>
      <c r="BH5" s="61">
        <f t="shared" ref="BH5:BL5" si="2">BG5+1</f>
        <v>45952</v>
      </c>
      <c r="BI5" s="61">
        <f t="shared" si="2"/>
        <v>45953</v>
      </c>
      <c r="BJ5" s="61">
        <f t="shared" si="2"/>
        <v>45954</v>
      </c>
      <c r="BK5" s="61">
        <f t="shared" si="2"/>
        <v>45955</v>
      </c>
      <c r="BL5" s="62">
        <f t="shared" si="2"/>
        <v>45956</v>
      </c>
    </row>
    <row r="6" spans="1:64" ht="30" customHeight="1" thickBot="1">
      <c r="A6" s="43" t="s">
        <v>12</v>
      </c>
      <c r="B6" s="8" t="s">
        <v>13</v>
      </c>
      <c r="C6" s="9" t="s">
        <v>14</v>
      </c>
      <c r="D6" s="9" t="s">
        <v>15</v>
      </c>
      <c r="E6" s="9" t="s">
        <v>16</v>
      </c>
      <c r="F6" s="9" t="s">
        <v>17</v>
      </c>
      <c r="G6" s="9"/>
      <c r="H6" s="9" t="s">
        <v>18</v>
      </c>
      <c r="I6" s="10" t="str">
        <f t="shared" ref="I6" si="3">LEFT(TEXT(I5,"ddd"),1)</f>
        <v>M</v>
      </c>
      <c r="J6" s="10" t="str">
        <f t="shared" ref="J6:AR6" si="4">LEFT(TEXT(J5,"ddd"),1)</f>
        <v>T</v>
      </c>
      <c r="K6" s="10" t="str">
        <f t="shared" si="4"/>
        <v>W</v>
      </c>
      <c r="L6" s="10" t="str">
        <f t="shared" si="4"/>
        <v>T</v>
      </c>
      <c r="M6" s="10" t="str">
        <f t="shared" si="4"/>
        <v>F</v>
      </c>
      <c r="N6" s="10" t="str">
        <f t="shared" si="4"/>
        <v>S</v>
      </c>
      <c r="O6" s="10" t="str">
        <f t="shared" si="4"/>
        <v>S</v>
      </c>
      <c r="P6" s="10" t="str">
        <f t="shared" si="4"/>
        <v>M</v>
      </c>
      <c r="Q6" s="10" t="str">
        <f t="shared" si="4"/>
        <v>T</v>
      </c>
      <c r="R6" s="10" t="str">
        <f t="shared" si="4"/>
        <v>W</v>
      </c>
      <c r="S6" s="10" t="str">
        <f t="shared" si="4"/>
        <v>T</v>
      </c>
      <c r="T6" s="10" t="str">
        <f t="shared" si="4"/>
        <v>F</v>
      </c>
      <c r="U6" s="10" t="str">
        <f t="shared" si="4"/>
        <v>S</v>
      </c>
      <c r="V6" s="10" t="str">
        <f t="shared" si="4"/>
        <v>S</v>
      </c>
      <c r="W6" s="10" t="str">
        <f t="shared" si="4"/>
        <v>M</v>
      </c>
      <c r="X6" s="10" t="str">
        <f t="shared" si="4"/>
        <v>T</v>
      </c>
      <c r="Y6" s="10" t="str">
        <f t="shared" si="4"/>
        <v>W</v>
      </c>
      <c r="Z6" s="10" t="str">
        <f t="shared" si="4"/>
        <v>T</v>
      </c>
      <c r="AA6" s="10" t="str">
        <f t="shared" si="4"/>
        <v>F</v>
      </c>
      <c r="AB6" s="10" t="str">
        <f t="shared" si="4"/>
        <v>S</v>
      </c>
      <c r="AC6" s="10" t="str">
        <f t="shared" si="4"/>
        <v>S</v>
      </c>
      <c r="AD6" s="10" t="str">
        <f t="shared" si="4"/>
        <v>M</v>
      </c>
      <c r="AE6" s="10" t="str">
        <f t="shared" si="4"/>
        <v>T</v>
      </c>
      <c r="AF6" s="10" t="str">
        <f t="shared" si="4"/>
        <v>W</v>
      </c>
      <c r="AG6" s="10" t="str">
        <f t="shared" si="4"/>
        <v>T</v>
      </c>
      <c r="AH6" s="10" t="str">
        <f t="shared" si="4"/>
        <v>F</v>
      </c>
      <c r="AI6" s="10" t="str">
        <f t="shared" si="4"/>
        <v>S</v>
      </c>
      <c r="AJ6" s="10" t="str">
        <f t="shared" si="4"/>
        <v>S</v>
      </c>
      <c r="AK6" s="10" t="str">
        <f t="shared" si="4"/>
        <v>M</v>
      </c>
      <c r="AL6" s="10" t="str">
        <f t="shared" si="4"/>
        <v>T</v>
      </c>
      <c r="AM6" s="10" t="str">
        <f t="shared" si="4"/>
        <v>W</v>
      </c>
      <c r="AN6" s="10" t="str">
        <f t="shared" si="4"/>
        <v>T</v>
      </c>
      <c r="AO6" s="10" t="str">
        <f t="shared" si="4"/>
        <v>F</v>
      </c>
      <c r="AP6" s="10" t="str">
        <f t="shared" si="4"/>
        <v>S</v>
      </c>
      <c r="AQ6" s="10" t="str">
        <f t="shared" si="4"/>
        <v>S</v>
      </c>
      <c r="AR6" s="10" t="str">
        <f t="shared" si="4"/>
        <v>M</v>
      </c>
      <c r="AS6" s="10" t="str">
        <f t="shared" ref="AS6:BL6" si="5">LEFT(TEXT(AS5,"ddd"),1)</f>
        <v>T</v>
      </c>
      <c r="AT6" s="10" t="str">
        <f t="shared" si="5"/>
        <v>W</v>
      </c>
      <c r="AU6" s="10" t="str">
        <f t="shared" si="5"/>
        <v>T</v>
      </c>
      <c r="AV6" s="10" t="str">
        <f t="shared" si="5"/>
        <v>F</v>
      </c>
      <c r="AW6" s="10" t="str">
        <f t="shared" si="5"/>
        <v>S</v>
      </c>
      <c r="AX6" s="10" t="str">
        <f t="shared" si="5"/>
        <v>S</v>
      </c>
      <c r="AY6" s="10" t="str">
        <f t="shared" si="5"/>
        <v>M</v>
      </c>
      <c r="AZ6" s="10" t="str">
        <f t="shared" si="5"/>
        <v>T</v>
      </c>
      <c r="BA6" s="10" t="str">
        <f t="shared" si="5"/>
        <v>W</v>
      </c>
      <c r="BB6" s="10" t="str">
        <f t="shared" si="5"/>
        <v>T</v>
      </c>
      <c r="BC6" s="10" t="str">
        <f t="shared" si="5"/>
        <v>F</v>
      </c>
      <c r="BD6" s="10" t="str">
        <f t="shared" si="5"/>
        <v>S</v>
      </c>
      <c r="BE6" s="10" t="str">
        <f t="shared" si="5"/>
        <v>S</v>
      </c>
      <c r="BF6" s="10" t="str">
        <f t="shared" si="5"/>
        <v>M</v>
      </c>
      <c r="BG6" s="10" t="str">
        <f t="shared" si="5"/>
        <v>T</v>
      </c>
      <c r="BH6" s="10" t="str">
        <f t="shared" si="5"/>
        <v>W</v>
      </c>
      <c r="BI6" s="10" t="str">
        <f t="shared" si="5"/>
        <v>T</v>
      </c>
      <c r="BJ6" s="10" t="str">
        <f t="shared" si="5"/>
        <v>F</v>
      </c>
      <c r="BK6" s="10" t="str">
        <f t="shared" si="5"/>
        <v>S</v>
      </c>
      <c r="BL6" s="10" t="str">
        <f t="shared" si="5"/>
        <v>S</v>
      </c>
    </row>
    <row r="7" spans="1:64" ht="30" hidden="1" customHeight="1" thickBot="1">
      <c r="A7" s="42" t="s">
        <v>19</v>
      </c>
      <c r="C7" s="46"/>
      <c r="E7"/>
      <c r="H7" t="str">
        <f t="shared" ref="H7:H33" ca="1" si="6">IF(OR(ISBLANK(Início_do_projeto),ISBLANK(término_da_tarefa)),"",término_da_tarefa-Início_do_projeto+1)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 customFormat="1" ht="30" customHeight="1" thickBot="1">
      <c r="A8" s="43" t="s">
        <v>20</v>
      </c>
      <c r="B8" s="15" t="s">
        <v>21</v>
      </c>
      <c r="C8" s="50"/>
      <c r="D8" s="16"/>
      <c r="E8" s="67"/>
      <c r="F8" s="68"/>
      <c r="G8" s="14"/>
      <c r="H8" s="14" t="str">
        <f t="shared" ca="1" si="6"/>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3" customFormat="1" ht="30" customHeight="1" thickBot="1">
      <c r="A9" s="43" t="s">
        <v>22</v>
      </c>
      <c r="B9" s="78" t="s">
        <v>23</v>
      </c>
      <c r="C9" s="79" t="s">
        <v>24</v>
      </c>
      <c r="D9" s="17">
        <v>0.5</v>
      </c>
      <c r="E9" s="63">
        <v>45904</v>
      </c>
      <c r="F9" s="63">
        <v>45936</v>
      </c>
      <c r="G9" s="14"/>
      <c r="H9" s="14">
        <f t="shared" ca="1" si="6"/>
        <v>33</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3" customFormat="1" ht="30" customHeight="1" thickBot="1">
      <c r="A10" s="43" t="s">
        <v>25</v>
      </c>
      <c r="B10" s="78" t="s">
        <v>26</v>
      </c>
      <c r="C10" s="79" t="s">
        <v>27</v>
      </c>
      <c r="D10" s="17">
        <v>0.6</v>
      </c>
      <c r="E10" s="63">
        <v>45904</v>
      </c>
      <c r="F10" s="63">
        <v>45936</v>
      </c>
      <c r="G10" s="14"/>
      <c r="H10" s="14">
        <f t="shared" ca="1" si="6"/>
        <v>33</v>
      </c>
      <c r="I10" s="30"/>
      <c r="J10" s="30"/>
      <c r="K10" s="30"/>
      <c r="L10" s="30"/>
      <c r="M10" s="30"/>
      <c r="N10" s="30"/>
      <c r="O10" s="30"/>
      <c r="P10" s="30"/>
      <c r="Q10" s="30"/>
      <c r="R10" s="30"/>
      <c r="S10" s="30"/>
      <c r="T10" s="30"/>
      <c r="U10" s="31"/>
      <c r="V10" s="31"/>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3" customFormat="1" ht="30" customHeight="1" thickBot="1">
      <c r="A11" s="42"/>
      <c r="B11" s="78" t="s">
        <v>28</v>
      </c>
      <c r="C11" s="79" t="s">
        <v>29</v>
      </c>
      <c r="D11" s="17">
        <v>0.5</v>
      </c>
      <c r="E11" s="63">
        <v>45904</v>
      </c>
      <c r="F11" s="63">
        <v>45936</v>
      </c>
      <c r="G11" s="14"/>
      <c r="H11" s="14">
        <f t="shared" ca="1" si="6"/>
        <v>33</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3" customFormat="1" ht="30" customHeight="1" thickBot="1">
      <c r="A12" s="42"/>
      <c r="B12" s="78" t="s">
        <v>30</v>
      </c>
      <c r="C12" s="79" t="s">
        <v>31</v>
      </c>
      <c r="D12" s="17">
        <v>0.25</v>
      </c>
      <c r="E12" s="63">
        <v>45904</v>
      </c>
      <c r="F12" s="63">
        <v>45936</v>
      </c>
      <c r="G12" s="14"/>
      <c r="H12" s="14">
        <f t="shared" ca="1" si="6"/>
        <v>33</v>
      </c>
      <c r="I12" s="30"/>
      <c r="J12" s="30"/>
      <c r="K12" s="30"/>
      <c r="L12" s="30"/>
      <c r="M12" s="30"/>
      <c r="N12" s="30"/>
      <c r="O12" s="30"/>
      <c r="P12" s="30"/>
      <c r="Q12" s="30"/>
      <c r="R12" s="30"/>
      <c r="S12" s="30"/>
      <c r="T12" s="30"/>
      <c r="U12" s="30"/>
      <c r="V12" s="30"/>
      <c r="W12" s="30"/>
      <c r="X12" s="30"/>
      <c r="Y12" s="31"/>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3" customFormat="1" ht="30" customHeight="1" thickBot="1">
      <c r="A13" s="42"/>
      <c r="B13" s="78" t="s">
        <v>32</v>
      </c>
      <c r="C13" s="79" t="s">
        <v>29</v>
      </c>
      <c r="D13" s="17"/>
      <c r="E13" s="63">
        <v>45904</v>
      </c>
      <c r="F13" s="63">
        <v>45936</v>
      </c>
      <c r="G13" s="14"/>
      <c r="H13" s="14">
        <f t="shared" ca="1" si="6"/>
        <v>33</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3" customFormat="1" ht="30" customHeight="1" thickBot="1">
      <c r="A14" s="43" t="s">
        <v>33</v>
      </c>
      <c r="B14" s="18" t="s">
        <v>34</v>
      </c>
      <c r="C14" s="51"/>
      <c r="D14" s="19"/>
      <c r="E14" s="69"/>
      <c r="F14" s="70"/>
      <c r="G14" s="14"/>
      <c r="H14" s="14" t="str">
        <f t="shared" ca="1" si="6"/>
        <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3" customFormat="1" ht="30" customHeight="1" thickBot="1">
      <c r="A15" s="43"/>
      <c r="B15" s="80" t="s">
        <v>35</v>
      </c>
      <c r="C15" s="81" t="s">
        <v>36</v>
      </c>
      <c r="D15" s="20">
        <v>0.5</v>
      </c>
      <c r="E15" s="64">
        <v>45904</v>
      </c>
      <c r="F15" s="64">
        <v>45953</v>
      </c>
      <c r="G15" s="14"/>
      <c r="H15" s="14">
        <f t="shared" ca="1" si="6"/>
        <v>50</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3" customFormat="1" ht="30" customHeight="1" thickBot="1">
      <c r="A16" s="42"/>
      <c r="B16" s="80" t="s">
        <v>37</v>
      </c>
      <c r="C16" s="81" t="s">
        <v>38</v>
      </c>
      <c r="D16" s="20">
        <v>0.5</v>
      </c>
      <c r="E16" s="64">
        <v>45904</v>
      </c>
      <c r="F16" s="64">
        <v>45953</v>
      </c>
      <c r="G16" s="14"/>
      <c r="H16" s="14">
        <f t="shared" ca="1" si="6"/>
        <v>50</v>
      </c>
      <c r="I16" s="30"/>
      <c r="J16" s="30"/>
      <c r="K16" s="30"/>
      <c r="L16" s="30"/>
      <c r="M16" s="30"/>
      <c r="N16" s="30"/>
      <c r="O16" s="30"/>
      <c r="P16" s="30"/>
      <c r="Q16" s="30"/>
      <c r="R16" s="30"/>
      <c r="S16" s="30"/>
      <c r="T16" s="30"/>
      <c r="U16" s="31"/>
      <c r="V16" s="31"/>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3" customFormat="1" ht="30" customHeight="1" thickBot="1">
      <c r="A17" s="42"/>
      <c r="B17" s="80" t="s">
        <v>39</v>
      </c>
      <c r="C17" s="81" t="s">
        <v>36</v>
      </c>
      <c r="D17" s="20"/>
      <c r="E17" s="82">
        <v>45904</v>
      </c>
      <c r="F17" s="64">
        <v>45953</v>
      </c>
      <c r="G17" s="14"/>
      <c r="H17" s="14">
        <f t="shared" ca="1" si="6"/>
        <v>50</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3" customFormat="1" ht="30" customHeight="1" thickBot="1">
      <c r="A18" s="42"/>
      <c r="B18" s="80" t="s">
        <v>40</v>
      </c>
      <c r="C18" s="81" t="s">
        <v>29</v>
      </c>
      <c r="D18" s="20"/>
      <c r="E18" s="64">
        <v>45904</v>
      </c>
      <c r="F18" s="64">
        <v>45953</v>
      </c>
      <c r="G18" s="14"/>
      <c r="H18" s="14">
        <f t="shared" ca="1" si="6"/>
        <v>50</v>
      </c>
      <c r="I18" s="30"/>
      <c r="J18" s="30"/>
      <c r="K18" s="30"/>
      <c r="L18" s="30"/>
      <c r="M18" s="30"/>
      <c r="N18" s="30"/>
      <c r="O18" s="30"/>
      <c r="P18" s="30"/>
      <c r="Q18" s="30"/>
      <c r="R18" s="30"/>
      <c r="S18" s="30"/>
      <c r="T18" s="30"/>
      <c r="U18" s="30"/>
      <c r="V18" s="30"/>
      <c r="W18" s="30"/>
      <c r="X18" s="30"/>
      <c r="Y18" s="31"/>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3" customFormat="1" ht="30" customHeight="1" thickBot="1">
      <c r="A19" s="42"/>
      <c r="B19" s="80" t="s">
        <v>41</v>
      </c>
      <c r="C19" s="81" t="s">
        <v>27</v>
      </c>
      <c r="D19" s="20"/>
      <c r="E19" s="64">
        <v>45904</v>
      </c>
      <c r="F19" s="64">
        <v>45953</v>
      </c>
      <c r="G19" s="14"/>
      <c r="H19" s="14">
        <f t="shared" ca="1" si="6"/>
        <v>50</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3" customFormat="1" ht="30" customHeight="1" thickBot="1">
      <c r="A20" s="42" t="s">
        <v>42</v>
      </c>
      <c r="B20" s="21" t="s">
        <v>43</v>
      </c>
      <c r="C20" s="52"/>
      <c r="D20" s="22"/>
      <c r="E20" s="71"/>
      <c r="F20" s="72"/>
      <c r="G20" s="14"/>
      <c r="H20" s="14" t="str">
        <f t="shared" ca="1" si="6"/>
        <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3" customFormat="1" ht="30" customHeight="1" thickBot="1">
      <c r="A21" s="42"/>
      <c r="B21" s="83" t="s">
        <v>44</v>
      </c>
      <c r="C21" s="85" t="s">
        <v>36</v>
      </c>
      <c r="D21" s="23"/>
      <c r="E21" s="65">
        <v>45904</v>
      </c>
      <c r="F21" s="65">
        <v>45974</v>
      </c>
      <c r="G21" s="14"/>
      <c r="H21" s="14">
        <f t="shared" ca="1" si="6"/>
        <v>71</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3" customFormat="1" ht="30" customHeight="1" thickBot="1">
      <c r="A22" s="42"/>
      <c r="B22" s="83" t="s">
        <v>45</v>
      </c>
      <c r="C22" s="85" t="s">
        <v>46</v>
      </c>
      <c r="D22" s="23"/>
      <c r="E22" s="65">
        <v>45904</v>
      </c>
      <c r="F22" s="65">
        <v>45974</v>
      </c>
      <c r="G22" s="14"/>
      <c r="H22" s="14">
        <f t="shared" ca="1" si="6"/>
        <v>71</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3" customFormat="1" ht="30" customHeight="1" thickBot="1">
      <c r="A23" s="42"/>
      <c r="B23" s="83" t="s">
        <v>39</v>
      </c>
      <c r="C23" s="85" t="s">
        <v>36</v>
      </c>
      <c r="D23" s="23"/>
      <c r="E23" s="65">
        <v>45904</v>
      </c>
      <c r="F23" s="65">
        <v>45974</v>
      </c>
      <c r="G23" s="14"/>
      <c r="H23" s="14">
        <f t="shared" ca="1" si="6"/>
        <v>71</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3" customFormat="1" ht="30" customHeight="1" thickBot="1">
      <c r="A24" s="42"/>
      <c r="B24" s="83" t="s">
        <v>40</v>
      </c>
      <c r="C24" s="85" t="s">
        <v>29</v>
      </c>
      <c r="D24" s="23"/>
      <c r="E24" s="84">
        <v>45904</v>
      </c>
      <c r="F24" s="65">
        <v>45974</v>
      </c>
      <c r="G24" s="14"/>
      <c r="H24" s="14">
        <f t="shared" ca="1" si="6"/>
        <v>71</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3" customFormat="1" ht="30" customHeight="1" thickBot="1">
      <c r="A25" s="42"/>
      <c r="B25" s="83" t="s">
        <v>41</v>
      </c>
      <c r="C25" s="85" t="s">
        <v>27</v>
      </c>
      <c r="D25" s="23"/>
      <c r="E25" s="65">
        <v>45904</v>
      </c>
      <c r="F25" s="65">
        <v>45974</v>
      </c>
      <c r="G25" s="14"/>
      <c r="H25" s="14">
        <f t="shared" ca="1" si="6"/>
        <v>71</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3" customFormat="1" ht="30" customHeight="1" thickBot="1">
      <c r="A26" s="42" t="s">
        <v>42</v>
      </c>
      <c r="B26" s="24" t="s">
        <v>47</v>
      </c>
      <c r="C26" s="53"/>
      <c r="D26" s="25"/>
      <c r="E26" s="73"/>
      <c r="F26" s="74"/>
      <c r="G26" s="14"/>
      <c r="H26" s="14" t="str">
        <f t="shared" ca="1" si="6"/>
        <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3" customFormat="1" ht="30" customHeight="1" thickBot="1">
      <c r="A27" s="42"/>
      <c r="B27" s="86" t="s">
        <v>48</v>
      </c>
      <c r="C27" s="87" t="s">
        <v>49</v>
      </c>
      <c r="D27" s="26"/>
      <c r="E27" s="66">
        <v>45904</v>
      </c>
      <c r="F27" s="66">
        <v>45994</v>
      </c>
      <c r="G27" s="14"/>
      <c r="H27" s="14">
        <f t="shared" ca="1" si="6"/>
        <v>91</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3" customFormat="1" ht="30" customHeight="1" thickBot="1">
      <c r="A28" s="42"/>
      <c r="B28" s="56" t="s">
        <v>50</v>
      </c>
      <c r="C28" s="54"/>
      <c r="D28" s="26"/>
      <c r="E28" s="66"/>
      <c r="F28" s="66"/>
      <c r="G28" s="14"/>
      <c r="H28" s="14" t="str">
        <f t="shared" ca="1" si="6"/>
        <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3" customFormat="1" ht="30" customHeight="1" thickBot="1">
      <c r="A29" s="42"/>
      <c r="B29" s="56" t="s">
        <v>51</v>
      </c>
      <c r="C29" s="54"/>
      <c r="D29" s="26"/>
      <c r="E29" s="66"/>
      <c r="F29" s="66"/>
      <c r="G29" s="14"/>
      <c r="H29" s="14" t="str">
        <f t="shared" ca="1" si="6"/>
        <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3" customFormat="1" ht="30" customHeight="1" thickBot="1">
      <c r="A30" s="42"/>
      <c r="B30" s="56" t="s">
        <v>52</v>
      </c>
      <c r="C30" s="54"/>
      <c r="D30" s="26"/>
      <c r="E30" s="66"/>
      <c r="F30" s="66"/>
      <c r="G30" s="14"/>
      <c r="H30" s="14" t="str">
        <f t="shared" ca="1" si="6"/>
        <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3" customFormat="1" ht="30" customHeight="1" thickBot="1">
      <c r="A31" s="42"/>
      <c r="B31" s="56" t="s">
        <v>53</v>
      </c>
      <c r="C31" s="54"/>
      <c r="D31" s="26"/>
      <c r="E31" s="66"/>
      <c r="F31" s="66"/>
      <c r="G31" s="14"/>
      <c r="H31" s="14" t="str">
        <f t="shared" ca="1" si="6"/>
        <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3" customFormat="1" ht="30" customHeight="1" thickBot="1">
      <c r="A32" s="42" t="s">
        <v>54</v>
      </c>
      <c r="B32" s="57"/>
      <c r="C32" s="55"/>
      <c r="D32" s="13"/>
      <c r="E32" s="75"/>
      <c r="F32" s="75"/>
      <c r="G32" s="14"/>
      <c r="H32" s="14" t="str">
        <f t="shared" ca="1" si="6"/>
        <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3" customFormat="1" ht="30" customHeight="1" thickBot="1">
      <c r="A33" s="43" t="s">
        <v>55</v>
      </c>
      <c r="B33" s="27" t="s">
        <v>56</v>
      </c>
      <c r="C33" s="77"/>
      <c r="D33" s="28"/>
      <c r="E33" s="76"/>
      <c r="F33" s="76"/>
      <c r="G33" s="29"/>
      <c r="H33" s="29" t="str">
        <f t="shared" ca="1" si="6"/>
        <v/>
      </c>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row>
    <row r="34" spans="1:64" ht="30" customHeight="1">
      <c r="G34" s="6"/>
    </row>
    <row r="35" spans="1:64" ht="30" customHeight="1">
      <c r="C35" s="11"/>
      <c r="F35" s="44"/>
    </row>
    <row r="36" spans="1:64" ht="30" customHeight="1">
      <c r="C36" s="12"/>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5" priority="33">
      <formula>AND(TODAY()&gt;=I$5,TODAY()&lt;J$5)</formula>
    </cfRule>
  </conditionalFormatting>
  <conditionalFormatting sqref="I7:BL33">
    <cfRule type="expression" dxfId="4" priority="27">
      <formula>AND(início_da_tarefa&lt;=I$5,ROUNDDOWN((término_da_tarefa-início_da_tarefa+1)*progresso_da_tarefa,0)+início_da_tarefa-1&gt;=I$5)</formula>
    </cfRule>
    <cfRule type="expression" dxfId="3"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zoomScaleNormal="100" workbookViewId="0"/>
  </sheetViews>
  <sheetFormatPr defaultColWidth="9.140625" defaultRowHeight="12.75"/>
  <cols>
    <col min="1" max="1" width="87.140625" style="34" customWidth="1"/>
    <col min="2" max="16384" width="9.140625" style="2"/>
  </cols>
  <sheetData>
    <row r="1" spans="1:2" ht="46.5" customHeight="1"/>
    <row r="2" spans="1:2" s="36" customFormat="1" ht="15.75">
      <c r="A2" s="35" t="s">
        <v>2</v>
      </c>
      <c r="B2" s="35"/>
    </row>
    <row r="3" spans="1:2" s="40" customFormat="1" ht="27" customHeight="1">
      <c r="A3" s="41" t="s">
        <v>5</v>
      </c>
      <c r="B3" s="41"/>
    </row>
    <row r="4" spans="1:2" s="37" customFormat="1" ht="26.25">
      <c r="A4" s="38" t="s">
        <v>57</v>
      </c>
    </row>
    <row r="5" spans="1:2" ht="74.099999999999994" customHeight="1">
      <c r="A5" s="39" t="s">
        <v>58</v>
      </c>
    </row>
    <row r="6" spans="1:2" ht="26.25" customHeight="1">
      <c r="A6" s="38" t="s">
        <v>59</v>
      </c>
    </row>
    <row r="7" spans="1:2" s="34" customFormat="1" ht="222.75" customHeight="1">
      <c r="A7" s="58" t="s">
        <v>60</v>
      </c>
    </row>
    <row r="8" spans="1:2" s="37" customFormat="1" ht="26.25">
      <c r="A8" s="38" t="s">
        <v>61</v>
      </c>
    </row>
    <row r="9" spans="1:2" ht="60">
      <c r="A9" s="39" t="s">
        <v>62</v>
      </c>
    </row>
    <row r="10" spans="1:2" s="34" customFormat="1" ht="27.95" customHeight="1">
      <c r="A10" s="59" t="s">
        <v>63</v>
      </c>
    </row>
    <row r="11" spans="1:2" s="37" customFormat="1" ht="26.25">
      <c r="A11" s="38" t="s">
        <v>64</v>
      </c>
    </row>
    <row r="12" spans="1:2" ht="30">
      <c r="A12" s="39" t="s">
        <v>65</v>
      </c>
    </row>
    <row r="13" spans="1:2" s="34" customFormat="1" ht="27.95" customHeight="1">
      <c r="A13" s="59" t="s">
        <v>66</v>
      </c>
    </row>
    <row r="14" spans="1:2" s="37" customFormat="1" ht="26.25">
      <c r="A14" s="38" t="s">
        <v>67</v>
      </c>
    </row>
    <row r="15" spans="1:2" ht="75" customHeight="1">
      <c r="A15" s="39" t="s">
        <v>68</v>
      </c>
    </row>
    <row r="16" spans="1:2" ht="90">
      <c r="A16" s="39" t="s">
        <v>69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D63B-92E7-4F2F-910B-B88C1A776CDE}">
  <dimension ref="A1:I10"/>
  <sheetViews>
    <sheetView workbookViewId="0">
      <selection activeCell="E18" sqref="E18"/>
    </sheetView>
  </sheetViews>
  <sheetFormatPr defaultRowHeight="15"/>
  <cols>
    <col min="1" max="1" width="32.5703125" style="93" bestFit="1" customWidth="1"/>
    <col min="2" max="2" width="29.42578125" style="93" customWidth="1"/>
    <col min="3" max="3" width="20.85546875" style="93" customWidth="1"/>
    <col min="4" max="4" width="29.7109375" style="93" bestFit="1" customWidth="1"/>
    <col min="5" max="5" width="12.7109375" style="93" bestFit="1" customWidth="1"/>
    <col min="6" max="6" width="24.42578125" style="93" bestFit="1" customWidth="1"/>
    <col min="7" max="7" width="81.140625" style="93" customWidth="1"/>
    <col min="8" max="8" width="18.42578125" style="93" bestFit="1" customWidth="1"/>
    <col min="9" max="9" width="18.140625" style="93" bestFit="1" customWidth="1"/>
  </cols>
  <sheetData>
    <row r="1" spans="1:9" ht="23.25">
      <c r="A1" s="100" t="s">
        <v>70</v>
      </c>
      <c r="B1" s="101"/>
      <c r="C1" s="101"/>
      <c r="D1" s="101"/>
      <c r="E1" s="101"/>
      <c r="F1" s="101"/>
      <c r="G1" s="101"/>
      <c r="H1" s="102"/>
      <c r="I1" s="88" t="s">
        <v>71</v>
      </c>
    </row>
    <row r="2" spans="1:9" ht="23.25">
      <c r="A2" s="100" t="s">
        <v>72</v>
      </c>
      <c r="B2" s="101"/>
      <c r="C2" s="101"/>
      <c r="D2" s="101"/>
      <c r="E2" s="101"/>
      <c r="F2" s="102"/>
      <c r="G2" s="103" t="s">
        <v>73</v>
      </c>
      <c r="H2" s="103"/>
      <c r="I2" s="104">
        <f ca="1">TODAY()</f>
        <v>45936</v>
      </c>
    </row>
    <row r="3" spans="1:9" ht="23.25">
      <c r="A3" s="89" t="s">
        <v>74</v>
      </c>
      <c r="B3" s="89" t="s">
        <v>75</v>
      </c>
      <c r="C3" s="89" t="s">
        <v>76</v>
      </c>
      <c r="D3" s="89" t="s">
        <v>77</v>
      </c>
      <c r="E3" s="89" t="s">
        <v>78</v>
      </c>
      <c r="F3" s="89" t="s">
        <v>79</v>
      </c>
      <c r="G3" s="89" t="s">
        <v>80</v>
      </c>
      <c r="H3" s="89" t="s">
        <v>81</v>
      </c>
      <c r="I3" s="105"/>
    </row>
    <row r="4" spans="1:9" ht="23.25">
      <c r="A4" s="89" t="s">
        <v>82</v>
      </c>
      <c r="B4" s="89" t="s">
        <v>83</v>
      </c>
      <c r="C4" s="89" t="s">
        <v>84</v>
      </c>
      <c r="D4" s="89" t="s">
        <v>85</v>
      </c>
      <c r="E4" s="89" t="s">
        <v>86</v>
      </c>
      <c r="F4" s="89" t="s">
        <v>87</v>
      </c>
      <c r="G4" s="89" t="s">
        <v>88</v>
      </c>
      <c r="H4" s="89" t="s">
        <v>89</v>
      </c>
      <c r="I4" s="89" t="s">
        <v>90</v>
      </c>
    </row>
    <row r="5" spans="1:9" ht="15.75">
      <c r="A5" s="90" t="s">
        <v>91</v>
      </c>
      <c r="B5" s="90" t="s">
        <v>92</v>
      </c>
      <c r="C5" s="90" t="s">
        <v>93</v>
      </c>
      <c r="D5" s="90" t="s">
        <v>24</v>
      </c>
      <c r="E5" s="91">
        <v>45935</v>
      </c>
      <c r="F5" s="91">
        <v>45933</v>
      </c>
      <c r="G5" s="90" t="s">
        <v>94</v>
      </c>
      <c r="H5" s="90">
        <v>0</v>
      </c>
      <c r="I5" s="92" t="str">
        <f>IF(F:F&lt;E:E,"Concluído","Atrasado")</f>
        <v>Concluído</v>
      </c>
    </row>
    <row r="6" spans="1:9" ht="15.75">
      <c r="A6" s="90" t="s">
        <v>95</v>
      </c>
      <c r="B6" s="90" t="s">
        <v>96</v>
      </c>
      <c r="C6" s="90" t="s">
        <v>97</v>
      </c>
      <c r="D6" s="90" t="s">
        <v>98</v>
      </c>
      <c r="E6" s="91">
        <v>45935</v>
      </c>
      <c r="F6" s="91">
        <v>45934</v>
      </c>
      <c r="G6" s="90" t="s">
        <v>94</v>
      </c>
      <c r="H6" s="90">
        <v>0</v>
      </c>
      <c r="I6" s="92" t="str">
        <f t="shared" ref="I6:I10" si="0">IF(F:F&lt;E:E,"Concluído","Atrasado")</f>
        <v>Concluído</v>
      </c>
    </row>
    <row r="7" spans="1:9" ht="15.75">
      <c r="A7" s="90" t="s">
        <v>28</v>
      </c>
      <c r="B7" s="90" t="s">
        <v>99</v>
      </c>
      <c r="C7" s="90" t="s">
        <v>100</v>
      </c>
      <c r="D7" s="90" t="s">
        <v>101</v>
      </c>
      <c r="E7" s="91">
        <v>45935</v>
      </c>
      <c r="F7" s="91">
        <v>45936</v>
      </c>
      <c r="G7" s="90" t="s">
        <v>102</v>
      </c>
      <c r="H7" s="90">
        <v>0</v>
      </c>
      <c r="I7" s="92" t="str">
        <f t="shared" si="0"/>
        <v>Atrasado</v>
      </c>
    </row>
    <row r="8" spans="1:9" ht="15.75">
      <c r="A8" s="90" t="s">
        <v>103</v>
      </c>
      <c r="B8" s="90" t="s">
        <v>104</v>
      </c>
      <c r="C8" s="90" t="s">
        <v>93</v>
      </c>
      <c r="D8" s="90" t="s">
        <v>27</v>
      </c>
      <c r="E8" s="91">
        <v>45935</v>
      </c>
      <c r="F8" s="91">
        <v>45936</v>
      </c>
      <c r="G8" s="90" t="s">
        <v>105</v>
      </c>
      <c r="H8" s="90">
        <v>0</v>
      </c>
      <c r="I8" s="92" t="str">
        <f t="shared" si="0"/>
        <v>Atrasado</v>
      </c>
    </row>
    <row r="9" spans="1:9" ht="15.75">
      <c r="A9" s="90" t="s">
        <v>106</v>
      </c>
      <c r="B9" s="90" t="s">
        <v>107</v>
      </c>
      <c r="C9" s="90" t="s">
        <v>108</v>
      </c>
      <c r="D9" s="90" t="s">
        <v>36</v>
      </c>
      <c r="E9" s="91">
        <v>45935</v>
      </c>
      <c r="F9" s="91">
        <v>45936</v>
      </c>
      <c r="G9" s="90" t="s">
        <v>109</v>
      </c>
      <c r="H9" s="90">
        <v>0</v>
      </c>
      <c r="I9" s="92" t="str">
        <f t="shared" si="0"/>
        <v>Atrasado</v>
      </c>
    </row>
    <row r="10" spans="1:9" ht="15.75">
      <c r="A10" s="90" t="s">
        <v>110</v>
      </c>
      <c r="B10" s="90" t="s">
        <v>107</v>
      </c>
      <c r="C10" s="90" t="s">
        <v>97</v>
      </c>
      <c r="D10" s="90" t="s">
        <v>36</v>
      </c>
      <c r="E10" s="91">
        <v>45935</v>
      </c>
      <c r="F10" s="91">
        <v>45936</v>
      </c>
      <c r="G10" s="90" t="s">
        <v>111</v>
      </c>
      <c r="H10" s="90">
        <v>0</v>
      </c>
      <c r="I10" s="92" t="str">
        <f t="shared" si="0"/>
        <v>Atrasado</v>
      </c>
    </row>
  </sheetData>
  <mergeCells count="4">
    <mergeCell ref="A1:H1"/>
    <mergeCell ref="A2:F2"/>
    <mergeCell ref="G2:H2"/>
    <mergeCell ref="I2:I3"/>
  </mergeCells>
  <conditionalFormatting sqref="I1:I1048576">
    <cfRule type="containsText" dxfId="2" priority="1" operator="containsText" text="No prazo">
      <formula>NOT(ISERROR(SEARCH("No prazo",I1)))</formula>
    </cfRule>
  </conditionalFormatting>
  <conditionalFormatting sqref="I1:I2 I4:I1048576">
    <cfRule type="containsText" dxfId="1" priority="2" operator="containsText" text="Concluído">
      <formula>NOT(ISERROR(SEARCH("Concluído",I1)))</formula>
    </cfRule>
    <cfRule type="containsText" dxfId="0" priority="3" operator="containsText" text="Atrasado">
      <formula>NOT(ISERROR(SEARCH("Atrasado",I1)))</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2DB4-6D88-4DF5-BD2B-2F8928529568}">
  <dimension ref="A1:C30"/>
  <sheetViews>
    <sheetView tabSelected="1" zoomScale="68" zoomScaleNormal="68" workbookViewId="0">
      <selection activeCell="A9" sqref="A9"/>
    </sheetView>
  </sheetViews>
  <sheetFormatPr defaultRowHeight="22.5"/>
  <cols>
    <col min="1" max="3" width="132.140625" style="94" customWidth="1"/>
  </cols>
  <sheetData>
    <row r="1" spans="1:3" ht="15">
      <c r="A1" s="106" t="s">
        <v>112</v>
      </c>
      <c r="B1" s="106"/>
      <c r="C1" s="106"/>
    </row>
    <row r="2" spans="1:3" ht="15">
      <c r="A2" s="106"/>
      <c r="B2" s="106"/>
      <c r="C2" s="106"/>
    </row>
    <row r="3" spans="1:3" ht="15">
      <c r="A3" s="107" t="s">
        <v>113</v>
      </c>
      <c r="B3" s="107"/>
      <c r="C3" s="107"/>
    </row>
    <row r="4" spans="1:3" ht="15">
      <c r="A4" s="107"/>
      <c r="B4" s="107"/>
      <c r="C4" s="107"/>
    </row>
    <row r="5" spans="1:3" ht="15">
      <c r="A5" s="107" t="s">
        <v>114</v>
      </c>
      <c r="B5" s="107"/>
      <c r="C5" s="107"/>
    </row>
    <row r="6" spans="1:3" ht="15">
      <c r="A6" s="107"/>
      <c r="B6" s="107"/>
      <c r="C6" s="107"/>
    </row>
    <row r="7" spans="1:3" ht="15">
      <c r="A7" s="107" t="s">
        <v>115</v>
      </c>
      <c r="B7" s="107"/>
      <c r="C7" s="107"/>
    </row>
    <row r="8" spans="1:3" ht="15">
      <c r="A8" s="107"/>
      <c r="B8" s="107"/>
      <c r="C8" s="107"/>
    </row>
    <row r="9" spans="1:3" ht="39.75" customHeight="1">
      <c r="A9" s="95" t="s">
        <v>116</v>
      </c>
      <c r="B9" s="95" t="s">
        <v>117</v>
      </c>
      <c r="C9" s="95" t="s">
        <v>118</v>
      </c>
    </row>
    <row r="10" spans="1:3" ht="67.5">
      <c r="A10" s="95" t="s">
        <v>119</v>
      </c>
      <c r="B10" s="95" t="s">
        <v>120</v>
      </c>
      <c r="C10" s="95" t="s">
        <v>121</v>
      </c>
    </row>
    <row r="11" spans="1:3" ht="45">
      <c r="A11" s="95" t="s">
        <v>122</v>
      </c>
      <c r="B11" s="95" t="s">
        <v>123</v>
      </c>
      <c r="C11" s="95" t="s">
        <v>124</v>
      </c>
    </row>
    <row r="12" spans="1:3">
      <c r="A12" s="95" t="s">
        <v>125</v>
      </c>
      <c r="B12" s="95" t="s">
        <v>126</v>
      </c>
      <c r="C12" s="95" t="s">
        <v>127</v>
      </c>
    </row>
    <row r="13" spans="1:3" ht="15">
      <c r="A13" s="106" t="s">
        <v>128</v>
      </c>
      <c r="B13" s="106"/>
      <c r="C13" s="106"/>
    </row>
    <row r="14" spans="1:3" ht="15">
      <c r="A14" s="106"/>
      <c r="B14" s="106"/>
      <c r="C14" s="106"/>
    </row>
    <row r="15" spans="1:3" ht="15">
      <c r="A15" s="106" t="s">
        <v>129</v>
      </c>
      <c r="B15" s="106"/>
      <c r="C15" s="106"/>
    </row>
    <row r="16" spans="1:3" ht="15">
      <c r="A16" s="106"/>
      <c r="B16" s="106"/>
      <c r="C16" s="106"/>
    </row>
    <row r="17" spans="1:3" ht="40.5" customHeight="1">
      <c r="A17" s="95" t="s">
        <v>116</v>
      </c>
      <c r="B17" s="95" t="s">
        <v>117</v>
      </c>
      <c r="C17" s="95" t="s">
        <v>118</v>
      </c>
    </row>
    <row r="18" spans="1:3" ht="45">
      <c r="A18" s="95" t="s">
        <v>130</v>
      </c>
      <c r="B18" s="95" t="s">
        <v>131</v>
      </c>
      <c r="C18" s="95" t="s">
        <v>132</v>
      </c>
    </row>
    <row r="19" spans="1:3">
      <c r="A19" s="96"/>
      <c r="B19" s="96"/>
      <c r="C19" s="96"/>
    </row>
    <row r="20" spans="1:3">
      <c r="A20" s="95" t="s">
        <v>133</v>
      </c>
      <c r="B20" s="95" t="s">
        <v>134</v>
      </c>
      <c r="C20" s="95" t="s">
        <v>135</v>
      </c>
    </row>
    <row r="21" spans="1:3">
      <c r="A21" s="95" t="s">
        <v>136</v>
      </c>
      <c r="B21" s="95" t="s">
        <v>137</v>
      </c>
      <c r="C21" s="95" t="s">
        <v>138</v>
      </c>
    </row>
    <row r="22" spans="1:3" ht="15">
      <c r="A22" s="106" t="s">
        <v>139</v>
      </c>
      <c r="B22" s="106"/>
      <c r="C22" s="106"/>
    </row>
    <row r="23" spans="1:3" ht="15">
      <c r="A23" s="106"/>
      <c r="B23" s="106"/>
      <c r="C23" s="106"/>
    </row>
    <row r="24" spans="1:3" ht="15">
      <c r="A24" s="106" t="s">
        <v>140</v>
      </c>
      <c r="B24" s="106"/>
      <c r="C24" s="106"/>
    </row>
    <row r="25" spans="1:3" ht="15">
      <c r="A25" s="106"/>
      <c r="B25" s="106"/>
      <c r="C25" s="106"/>
    </row>
    <row r="26" spans="1:3" ht="40.5" customHeight="1">
      <c r="A26" s="95" t="s">
        <v>116</v>
      </c>
      <c r="B26" s="95" t="s">
        <v>117</v>
      </c>
      <c r="C26" s="95" t="s">
        <v>118</v>
      </c>
    </row>
    <row r="27" spans="1:3" ht="45">
      <c r="A27" s="95" t="s">
        <v>141</v>
      </c>
      <c r="B27" s="95" t="s">
        <v>142</v>
      </c>
      <c r="C27" s="95" t="s">
        <v>143</v>
      </c>
    </row>
    <row r="28" spans="1:3" ht="45">
      <c r="A28" s="95" t="s">
        <v>144</v>
      </c>
      <c r="B28" s="95" t="s">
        <v>145</v>
      </c>
      <c r="C28" s="95" t="s">
        <v>146</v>
      </c>
    </row>
    <row r="29" spans="1:3">
      <c r="A29" s="95" t="s">
        <v>147</v>
      </c>
      <c r="B29" s="95" t="s">
        <v>148</v>
      </c>
      <c r="C29" s="95" t="s">
        <v>149</v>
      </c>
    </row>
    <row r="30" spans="1:3" ht="45">
      <c r="A30" s="95" t="s">
        <v>150</v>
      </c>
      <c r="B30" s="95" t="s">
        <v>151</v>
      </c>
      <c r="C30" s="95" t="s">
        <v>152</v>
      </c>
    </row>
  </sheetData>
  <mergeCells count="8">
    <mergeCell ref="A1:C2"/>
    <mergeCell ref="A3:C4"/>
    <mergeCell ref="A22:C23"/>
    <mergeCell ref="A24:C25"/>
    <mergeCell ref="A13:C14"/>
    <mergeCell ref="A15:C16"/>
    <mergeCell ref="A5:C6"/>
    <mergeCell ref="A7:C8"/>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2B7893C5F07942BCF73DDC6B37CDD7" ma:contentTypeVersion="9" ma:contentTypeDescription="Create a new document." ma:contentTypeScope="" ma:versionID="97f602836fcf1a1cdc9f602b7af7ffc3">
  <xsd:schema xmlns:xsd="http://www.w3.org/2001/XMLSchema" xmlns:xs="http://www.w3.org/2001/XMLSchema" xmlns:p="http://schemas.microsoft.com/office/2006/metadata/properties" xmlns:ns3="8b4ed022-6705-4cac-96bf-fa54c8b5900a" targetNamespace="http://schemas.microsoft.com/office/2006/metadata/properties" ma:root="true" ma:fieldsID="6609e7cb5beb52825fa50237b7a43221" ns3:_="">
    <xsd:import namespace="8b4ed022-6705-4cac-96bf-fa54c8b5900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4ed022-6705-4cac-96bf-fa54c8b5900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b4ed022-6705-4cac-96bf-fa54c8b5900a" xsi:nil="true"/>
  </documentManagement>
</p:properties>
</file>

<file path=customXml/itemProps1.xml><?xml version="1.0" encoding="utf-8"?>
<ds:datastoreItem xmlns:ds="http://schemas.openxmlformats.org/officeDocument/2006/customXml" ds:itemID="{C49D771D-8D94-44AD-B102-DE7F98B4ACA4}"/>
</file>

<file path=customXml/itemProps2.xml><?xml version="1.0" encoding="utf-8"?>
<ds:datastoreItem xmlns:ds="http://schemas.openxmlformats.org/officeDocument/2006/customXml" ds:itemID="{033C67AE-15B3-49D8-9903-CFFB0C86690C}"/>
</file>

<file path=customXml/itemProps3.xml><?xml version="1.0" encoding="utf-8"?>
<ds:datastoreItem xmlns:ds="http://schemas.openxmlformats.org/officeDocument/2006/customXml" ds:itemID="{264F2DF9-C677-4D22-89CA-83F2869B93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JOSE SERGIO DOS SANTOS</cp:lastModifiedBy>
  <cp:revision/>
  <dcterms:created xsi:type="dcterms:W3CDTF">2019-03-19T17:17:03Z</dcterms:created>
  <dcterms:modified xsi:type="dcterms:W3CDTF">2025-10-06T21:28:26Z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0x010100662B7893C5F07942BCF73DDC6B37CDD7</vt:lpwstr>
  </property>
</Properties>
</file>